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8_{F4770792-15E9-044C-A1B1-D352C5110D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E13" i="1"/>
  <c r="E8" i="1"/>
  <c r="E7" i="1"/>
  <c r="E5" i="1"/>
  <c r="E4" i="1"/>
</calcChain>
</file>

<file path=xl/sharedStrings.xml><?xml version="1.0" encoding="utf-8"?>
<sst xmlns="http://schemas.openxmlformats.org/spreadsheetml/2006/main" count="24" uniqueCount="22">
  <si>
    <t>parametros</t>
  </si>
  <si>
    <t>V0</t>
  </si>
  <si>
    <t xml:space="preserve">t </t>
  </si>
  <si>
    <t xml:space="preserve">densidad </t>
  </si>
  <si>
    <t>Dmax</t>
  </si>
  <si>
    <t>Lmax</t>
  </si>
  <si>
    <t>cm</t>
  </si>
  <si>
    <t>cw</t>
  </si>
  <si>
    <t>costo mínimo de un tanque</t>
  </si>
  <si>
    <t>valores calculados</t>
  </si>
  <si>
    <t>m</t>
  </si>
  <si>
    <t>lw</t>
  </si>
  <si>
    <t>variables de diseño</t>
  </si>
  <si>
    <t>D</t>
  </si>
  <si>
    <t>L</t>
  </si>
  <si>
    <t>Vcoraza</t>
  </si>
  <si>
    <t>Vtapas</t>
  </si>
  <si>
    <t>funcion objetivo</t>
  </si>
  <si>
    <t>c</t>
  </si>
  <si>
    <t>volumen</t>
  </si>
  <si>
    <t>Ideal</t>
  </si>
  <si>
    <t>restricciones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</si>
</sst>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337E-CF40-1343-A17B-0404DE9891B9}">
  <dimension ref="A1:J15"/>
  <sheetViews>
    <sheetView tabSelected="1" topLeftCell="E2" zoomScaleNormal="60" zoomScaleSheetLayoutView="100" workbookViewId="0">
      <selection activeCell="H16" sqref="H16"/>
    </sheetView>
  </sheetViews>
  <sheetFormatPr defaultRowHeight="15" x14ac:dyDescent="0.2"/>
  <cols>
    <col min="1" max="1" width="10.0859375" customWidth="1"/>
    <col min="5" max="5" width="11.97265625" bestFit="1" customWidth="1"/>
    <col min="8" max="8" width="11.43359375" customWidth="1"/>
    <col min="10" max="10" width="11.8359375" customWidth="1"/>
  </cols>
  <sheetData>
    <row r="1" spans="1:10" x14ac:dyDescent="0.2">
      <c r="B1" s="1" t="s">
        <v>8</v>
      </c>
      <c r="C1" s="1"/>
      <c r="D1" s="1"/>
      <c r="E1" s="1"/>
    </row>
    <row r="3" spans="1:10" x14ac:dyDescent="0.2">
      <c r="A3" s="1" t="s">
        <v>0</v>
      </c>
      <c r="B3" s="1"/>
      <c r="D3" s="1" t="s">
        <v>9</v>
      </c>
      <c r="E3" s="1"/>
      <c r="G3" s="1" t="s">
        <v>12</v>
      </c>
      <c r="H3" s="1"/>
    </row>
    <row r="4" spans="1:10" x14ac:dyDescent="0.2">
      <c r="A4" t="s">
        <v>1</v>
      </c>
      <c r="B4">
        <v>0.8</v>
      </c>
      <c r="D4" t="s">
        <v>10</v>
      </c>
      <c r="E4">
        <f>((H5*PI())*((((H4/2)+B5)^2-(H4/2)^2))+((2*PI())*((H4/2)+B5)^2*(B5)))*(B6)</f>
        <v>1215.2443258864923</v>
      </c>
      <c r="G4" t="s">
        <v>13</v>
      </c>
      <c r="H4">
        <v>0.98284859999999996</v>
      </c>
    </row>
    <row r="5" spans="1:10" x14ac:dyDescent="0.2">
      <c r="A5" t="s">
        <v>2</v>
      </c>
      <c r="B5">
        <v>0.03</v>
      </c>
      <c r="D5" t="s">
        <v>11</v>
      </c>
      <c r="E5">
        <f>(4*PI())+(H4+B5)</f>
        <v>13.579219214359172</v>
      </c>
      <c r="G5" t="s">
        <v>14</v>
      </c>
      <c r="H5">
        <v>1.0544530000000001</v>
      </c>
    </row>
    <row r="6" spans="1:10" x14ac:dyDescent="0.2">
      <c r="A6" t="s">
        <v>3</v>
      </c>
      <c r="B6">
        <v>8000</v>
      </c>
    </row>
    <row r="7" spans="1:10" x14ac:dyDescent="0.2">
      <c r="A7" t="s">
        <v>5</v>
      </c>
      <c r="B7">
        <v>2</v>
      </c>
      <c r="D7" t="s">
        <v>15</v>
      </c>
      <c r="E7">
        <f>(H5*PI())*(((H4/2)+B5)^2-(H4/2)^2)</f>
        <v>0.10065674594214198</v>
      </c>
    </row>
    <row r="8" spans="1:10" x14ac:dyDescent="0.2">
      <c r="A8" t="s">
        <v>4</v>
      </c>
      <c r="B8">
        <v>1</v>
      </c>
      <c r="D8" t="s">
        <v>16</v>
      </c>
      <c r="E8">
        <f>((2*PI())*((H4/2)+B5)^2*(B5))</f>
        <v>5.124879479366954E-2</v>
      </c>
    </row>
    <row r="9" spans="1:10" x14ac:dyDescent="0.2">
      <c r="A9" t="s">
        <v>6</v>
      </c>
      <c r="B9">
        <v>4.5</v>
      </c>
    </row>
    <row r="10" spans="1:10" x14ac:dyDescent="0.2">
      <c r="A10" t="s">
        <v>7</v>
      </c>
      <c r="B10">
        <v>20</v>
      </c>
    </row>
    <row r="12" spans="1:10" x14ac:dyDescent="0.2">
      <c r="D12" s="1" t="s">
        <v>17</v>
      </c>
      <c r="E12" s="1"/>
      <c r="H12" t="s">
        <v>20</v>
      </c>
      <c r="J12" t="s">
        <v>21</v>
      </c>
    </row>
    <row r="13" spans="1:10" x14ac:dyDescent="0.2">
      <c r="D13" t="s">
        <v>18</v>
      </c>
      <c r="E13">
        <f>(B9*E4)+(B10*E5)</f>
        <v>5740.1838507763987</v>
      </c>
      <c r="G13" t="s">
        <v>13</v>
      </c>
      <c r="H13">
        <f>H4</f>
        <v>0.98284859999999996</v>
      </c>
      <c r="J13">
        <v>1</v>
      </c>
    </row>
    <row r="14" spans="1:10" x14ac:dyDescent="0.2">
      <c r="G14" t="s">
        <v>14</v>
      </c>
      <c r="H14">
        <f>H5</f>
        <v>1.0544530000000001</v>
      </c>
      <c r="J14">
        <v>2</v>
      </c>
    </row>
    <row r="15" spans="1:10" x14ac:dyDescent="0.2">
      <c r="G15" t="s">
        <v>19</v>
      </c>
      <c r="H15">
        <f>(PI()*H4^2*H5)/4</f>
        <v>0.80000067766734528</v>
      </c>
      <c r="J15">
        <v>0.8</v>
      </c>
    </row>
  </sheetData>
  <mergeCells count="5">
    <mergeCell ref="B1:E1"/>
    <mergeCell ref="A3:B3"/>
    <mergeCell ref="D3:E3"/>
    <mergeCell ref="G3:H3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BILLI RODRIGUEZ BENAVIDES</dc:creator>
  <dcterms:created xsi:type="dcterms:W3CDTF">2025-11-19T21:43:48Z</dcterms:created>
</cp:coreProperties>
</file>